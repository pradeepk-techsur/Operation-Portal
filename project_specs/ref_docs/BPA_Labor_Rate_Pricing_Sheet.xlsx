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Users\PradeepKrishnanath\Downloads\"/>
    </mc:Choice>
  </mc:AlternateContent>
  <xr:revisionPtr revIDLastSave="0" documentId="8_{1AFDE1D6-F4C6-4894-80CF-56B886D4FC96}" xr6:coauthVersionLast="47" xr6:coauthVersionMax="47" xr10:uidLastSave="{00000000-0000-0000-0000-000000000000}"/>
  <bookViews>
    <workbookView xWindow="28680" yWindow="-120" windowWidth="29040" windowHeight="15720" firstSheet="1" activeTab="1" xr2:uid="{00000000-000D-0000-FFFF-FFFF00000000}"/>
  </bookViews>
  <sheets>
    <sheet name="Notes" sheetId="12" state="hidden" r:id="rId1"/>
    <sheet name="BPA PRICING " sheetId="6" r:id="rId2"/>
  </sheets>
  <definedNames>
    <definedName name="_xlnm._FilterDatabase" localSheetId="1" hidden="1">'BPA PRICING '!$G$2:$G$41</definedName>
    <definedName name="_xlnm.Print_Area" localSheetId="1">'BPA PRICING '!$B$1:$K$40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1" i="6" l="1"/>
  <c r="J41" i="6"/>
  <c r="I41" i="6"/>
  <c r="H41" i="6"/>
  <c r="G41" i="6"/>
</calcChain>
</file>

<file path=xl/sharedStrings.xml><?xml version="1.0" encoding="utf-8"?>
<sst xmlns="http://schemas.openxmlformats.org/spreadsheetml/2006/main" count="257" uniqueCount="86">
  <si>
    <t>NOTES</t>
  </si>
  <si>
    <t>No Assumptions</t>
  </si>
  <si>
    <t>Administrative Office Specified Labor Category</t>
  </si>
  <si>
    <t>Minimum Level</t>
  </si>
  <si>
    <t>GSA Schedule Quoted Labor Category</t>
  </si>
  <si>
    <t xml:space="preserve">LCAT Mapping Comments </t>
  </si>
  <si>
    <t>Communications Specialist</t>
  </si>
  <si>
    <t>Senior</t>
  </si>
  <si>
    <t>BA Level II</t>
  </si>
  <si>
    <r>
      <t xml:space="preserve">In response to the TSO ITSS BPA LCAT for the Senior Communications Specialist, TechSur is including the the following requirements to reflect the specific roles and responsibilities of this LCAT in </t>
    </r>
    <r>
      <rPr>
        <b/>
        <sz val="11"/>
        <color theme="4"/>
        <rFont val="Times New Roman"/>
        <family val="1"/>
      </rPr>
      <t>addition</t>
    </r>
    <r>
      <rPr>
        <sz val="11"/>
        <color theme="1"/>
        <rFont val="Times New Roman"/>
        <family val="1"/>
      </rPr>
      <t xml:space="preserve"> to our GSA MAS LCAT BA Level II:
</t>
    </r>
    <r>
      <rPr>
        <b/>
        <sz val="11"/>
        <color theme="4"/>
        <rFont val="Times New Roman"/>
        <family val="1"/>
      </rPr>
      <t>All resources assigned to the Senior Communicaitons Specialist LCAT will meet the minimum relevant experience and education requirements and each candidate resume will also match, map and meet the functional responsibility criteria listed in the GSA Schedule as well as the TSO LCAT requirements.
Education/Experience: Master's Degree or higher (in a related discipline)  Seven (7) years***  (***If candidate does not meet Senior Level education requirement, three (3) additional years of experience will be acceptable.)
Functional Responsibilities: Provides creative elements for all written communication, works directly with the office executive to design targeted communications that is convincing and compelling to increase buy-in, engagement and change acceptance. Must be able to take technical concepts and prepare written communication in a style and format that is understood by non-technical audiences at all levels. Advanced experience with general office software programs including PowerPoint and Visio. Analyzes business and scientific systems specifications and procedures to solve complex problems based on equipment limitations and capacity, operating time, and form of desired results. Develops logic flowcharts, encodes programs, prepares test data, and tests and debugs programs. Revises and updates programs as required and provides necessary documentation for the customer/client.</t>
    </r>
    <r>
      <rPr>
        <sz val="11"/>
        <color theme="1"/>
        <rFont val="Times New Roman"/>
        <family val="1"/>
      </rPr>
      <t xml:space="preserve"> </t>
    </r>
  </si>
  <si>
    <t>Computer Security Systems Specialist</t>
  </si>
  <si>
    <t>Mid-Level</t>
  </si>
  <si>
    <t>Applications Systems Analyst/Programmer - Senior</t>
  </si>
  <si>
    <r>
      <t xml:space="preserve">In response to the TSO ITSS BPA LCAT for the Mid-Level Computer Security Systems Specialist, TechSur is including the the following requirements to reflect the specific roles and responsibilities of this LCAT in </t>
    </r>
    <r>
      <rPr>
        <b/>
        <sz val="11"/>
        <color theme="4"/>
        <rFont val="Times New Roman"/>
        <family val="1"/>
      </rPr>
      <t>addition</t>
    </r>
    <r>
      <rPr>
        <sz val="11"/>
        <color theme="1"/>
        <rFont val="Times New Roman"/>
        <family val="1"/>
      </rPr>
      <t xml:space="preserve"> to our GSA MAS LCAT Applications Systems Analyst/Programmer - Senior:
</t>
    </r>
    <r>
      <rPr>
        <b/>
        <sz val="11"/>
        <color theme="4"/>
        <rFont val="Times New Roman"/>
        <family val="1"/>
      </rPr>
      <t xml:space="preserve">All resources assigned to the Mid-Level Computer Security Systems Specialist LCAT will meet the minimum relevant experience and education requirements and each candidate resume will also match, map and meet the functional responsibility criteria listed in the GSA Schedule as well as the TSO LCAT requirements.
Education/Experience: B.S./B.A. or higher in Information Systems, Computer Science, Business or related field and 3+ years of experience.  Advanced degree (Masters or higher) in related field may be substituted for 3 years of experience. **If candidate does not meet Mid-Level education requirement, four (4) additional years of experience will be acceptable.
Functional Responsibilities: 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Modifies moderately complex application programs from detailed specifications. Maintains, codes, tests, debugs, and documents programs as assigned. </t>
    </r>
  </si>
  <si>
    <t xml:space="preserve">Cyber Security Analyst </t>
  </si>
  <si>
    <r>
      <t xml:space="preserve">In response to the TSO ITSS BPA LCAT for the Mid-Level Cyber Security Analyst , TechSur is including the the following requirements to reflect the specific roles and responsibilities of this LCAT in </t>
    </r>
    <r>
      <rPr>
        <b/>
        <sz val="11"/>
        <color theme="4"/>
        <rFont val="Times New Roman"/>
        <family val="1"/>
      </rPr>
      <t>addition</t>
    </r>
    <r>
      <rPr>
        <sz val="11"/>
        <color theme="1"/>
        <rFont val="Times New Roman"/>
        <family val="1"/>
      </rPr>
      <t xml:space="preserve"> to our GSA MAS LCAT Applications Systems Analyst/Programmer - Senior:
</t>
    </r>
    <r>
      <rPr>
        <b/>
        <sz val="11"/>
        <color theme="4"/>
        <rFont val="Times New Roman"/>
        <family val="1"/>
      </rPr>
      <t xml:space="preserve">All resources assigned to the Mid-Level Cyber Security Analyst  LCAT will meet the minimum relevant experience and education requirements and each candidate resume will also match, map and meet the functional responsibility criteria listed in the GSA Schedule as well as the TSO LCAT requirements.
Education/Experience: B.S./B.A. or higher in Information Systems, Computer Science, Business or related field and 3+ years of experience. Advanced degree (Masters or higher) in related field may be substituted for 3 years of experience. **If candidate does not meet Mid-Level education requirement, four (4) additional years of experience will be acceptable.
Functional Responsibilities: Supports analysis of systems, programs and/or planning activities. Duties may involve research and analysis and response to information assurance/cyber related programs and initiatives within the network environment or enclave. Modifies moderately complex application programs from detailed specifications. Maintains, codes, tests, debugs, and documents programs as assigned. </t>
    </r>
  </si>
  <si>
    <t>Cyber Security Specialist</t>
  </si>
  <si>
    <t>Business Systems Analyst - Intermediate</t>
  </si>
  <si>
    <r>
      <t xml:space="preserve">In response to the TSO ITSS BPA LCAT for the Mid-Level Cyber Security Specialist, TechSur is including the the following requirements to reflect the specific roles and responsibilities of this LCAT in </t>
    </r>
    <r>
      <rPr>
        <b/>
        <sz val="11"/>
        <color theme="4"/>
        <rFont val="Times New Roman"/>
        <family val="1"/>
      </rPr>
      <t>addition</t>
    </r>
    <r>
      <rPr>
        <sz val="11"/>
        <color theme="1"/>
        <rFont val="Times New Roman"/>
        <family val="1"/>
      </rPr>
      <t xml:space="preserve"> to our GSA MAS LCAT Business Systems Analyst - Intermediate:
</t>
    </r>
    <r>
      <rPr>
        <b/>
        <sz val="11"/>
        <color theme="4"/>
        <rFont val="Times New Roman"/>
        <family val="1"/>
      </rPr>
      <t>All resources assigned to the Mid-Level Cyber Security Specialist LCATwill meet the minimum relevant experience and education requirements and each candidate resume will also match, map and meet the functional responsibility criteria listed in the GSA Schedule as well as the TSO LCAT requirements.
Education/Experience: B.S./B.A. or higher in Information Systems, Computer Science, Business or related field and 5+ years of experience. Advanced degree (Masters or higher) in related field may be substituted for 3 years of experience. **If candidate does not meet Mid-Level education requirement, four (4) additional years of experience will be acceptable.
Functional Responsibilities: Performs computer security assessments and evaluations of computer systems. Is an IT security expert with a strong background in cloud, cyber-security, and network security engineering. Develops security architectures, assessing management, operational, and technical controls including using a variety of freely available and commercial toolkits to determine the technical health of a system.  These tools include, but are not limited to, Splunk, Tenable Nessus, and WireShark.  The vendor will have hands on experience with Azure and AWS computing environments.  The vendor will be effective in assisting program manager/system owners by providing actionable advice to improve IT security (especially early on in the systems development lifecycle (SDLC). The vendor will ensure the confidentiality, integrity, and availability of systems, networks, and data across the SDLC, and create, promote, and adhere to standardized, repeatable processes for the delivery of security engineering services. Whether working with national program offices to create secure system boundaries for critical systems or partnering with IT stakeholders across the Judiciary to understand and implement secure design patterns, the vendors will work diligently to educate their stakeholders and motivate them to embrace solutions that incorporate reasonable, effective, standards-based security controls.Performs data access analysis design, and archive/recovery design and implementation. Develops strategies for data acquisitions, archive recovery, and implementation of a database. Translates business needs into long -term architecture solutions. Defines, designs, and builds dimensional databases. .</t>
    </r>
  </si>
  <si>
    <t>Presentation and Graphics Specialist</t>
  </si>
  <si>
    <t>Business Process Consultant</t>
  </si>
  <si>
    <r>
      <t xml:space="preserve">In response to the TSO ITSS BPA LCAT for the Mid-Level Presentation and Graphics Specialist, TechSur is including the the following requirements to reflect the specific roles and responsibilities of this LCAT in </t>
    </r>
    <r>
      <rPr>
        <b/>
        <sz val="11"/>
        <color theme="4"/>
        <rFont val="Times New Roman"/>
        <family val="1"/>
      </rPr>
      <t>addition</t>
    </r>
    <r>
      <rPr>
        <sz val="11"/>
        <color theme="1"/>
        <rFont val="Times New Roman"/>
        <family val="1"/>
      </rPr>
      <t xml:space="preserve"> to our GSA MAS LCAT Business Process Consultant:
</t>
    </r>
    <r>
      <rPr>
        <b/>
        <sz val="11"/>
        <color theme="4"/>
        <rFont val="Times New Roman"/>
        <family val="1"/>
      </rPr>
      <t>All resources assigned to the Mid-Level Cyber Security Specialist LCATwill meet the minimum relevant experience and education requirements and each candidate resume will also match, map and meet the functional responsibility criteria listed in the GSA Schedule as well as the TSO LCAT requirements.
Education/Experience: B.S./B.A. or higher in Information Systems, Computer Science, Business or related field and 3+ years of experience.. Advanced degree (Masters or higher) in related field may be substituted for 3 years of experience. **If candidate does not meet Mid-Level education requirement, four (4) additional years of experience will be acceptable.
Functional Responsibilities: Strong business communicator to collaborate with office chief or team leads to take text and make it memorable using graphic design skills focused on sharing an idea or a product concept. Resource should be deadline driven, organized and understand how people view and understand content. Provie support for the formatting and creation of a wide range of PowerPoint decks. Format and improve PowerPoint pitches, proposals, and brochures. Develop related graphics such as timelines, infographics, diagrams, charts, and custom graphics. Reviews and documents current processes and provide recommendations for improved efficiencies. Communicates technical and non-technical information at the appropriate level, orally and in writing, to both staff and management. Produces documentation appropriate to the target audience. Advanced degree in related field may be substituted for 3 years of experience</t>
    </r>
    <r>
      <rPr>
        <sz val="11"/>
        <color theme="1"/>
        <rFont val="Times New Roman"/>
        <family val="1"/>
      </rPr>
      <t>.</t>
    </r>
  </si>
  <si>
    <t>BPA Labor Category</t>
  </si>
  <si>
    <t>Unit</t>
  </si>
  <si>
    <t>Base Year Labor Rates</t>
  </si>
  <si>
    <t>Option Year 1 Quoted  Labor Rates</t>
  </si>
  <si>
    <t>Option  Year 2  Quoted Labor Rates</t>
  </si>
  <si>
    <t>Option  Year 3 Quoted Rate</t>
  </si>
  <si>
    <t>Option  Year 4 Quoted Labor Rates</t>
  </si>
  <si>
    <t>GSA Contract #</t>
  </si>
  <si>
    <t>GSA Contractor Arrangement (Prime, Sub-contractor, or GSA CTA)</t>
  </si>
  <si>
    <t xml:space="preserve">Administrative Support Specialist </t>
  </si>
  <si>
    <t>Functional Analyst</t>
  </si>
  <si>
    <t>HR</t>
  </si>
  <si>
    <t>47QTCA20D00C6</t>
  </si>
  <si>
    <t>Prime</t>
  </si>
  <si>
    <t>Agile Certified Professional - Mid-Level</t>
  </si>
  <si>
    <t>Agile Coach/Consultant</t>
  </si>
  <si>
    <t>added effective 3/14/2023</t>
  </si>
  <si>
    <t>Artificial Intelligence (AI) Engineer - Mid-Level</t>
  </si>
  <si>
    <t>Solutions Architect - Level III</t>
  </si>
  <si>
    <t>Business Analyst - Mid-Level</t>
  </si>
  <si>
    <t>Business Process Consultant SME</t>
  </si>
  <si>
    <t>Business Analyst - Senior</t>
  </si>
  <si>
    <t>Consultant</t>
  </si>
  <si>
    <t>added effective 7/6/2023</t>
  </si>
  <si>
    <t>Business Process Reengineering Specialist</t>
  </si>
  <si>
    <t>Cloud Architect- CDaaS-PaaS-Saas-Cloud Hosting - Senior</t>
  </si>
  <si>
    <t>Solutions Architect – Level III</t>
  </si>
  <si>
    <t>Cloud System Engineer Mid-Level</t>
  </si>
  <si>
    <t>Please see comment on Notes Tab</t>
  </si>
  <si>
    <t>Configuration Management Analyst</t>
  </si>
  <si>
    <t>Cyber Threat Analyst</t>
  </si>
  <si>
    <t>IT Subject Matter Specialist</t>
  </si>
  <si>
    <t>Data Architect</t>
  </si>
  <si>
    <t>Data Scientist</t>
  </si>
  <si>
    <t>Development Operations Engineer</t>
  </si>
  <si>
    <t>Systems Engineer - Level III</t>
  </si>
  <si>
    <t>Enterprise Architect</t>
  </si>
  <si>
    <t>Solution Architect</t>
  </si>
  <si>
    <t>Information Assurance Engineer</t>
  </si>
  <si>
    <t>Information Systems Engineer</t>
  </si>
  <si>
    <t>Information Systems Specialist</t>
  </si>
  <si>
    <t xml:space="preserve">Presentation and Graphics Specialist </t>
  </si>
  <si>
    <t>Programmer</t>
  </si>
  <si>
    <t>Applications Developer - Level I</t>
  </si>
  <si>
    <t xml:space="preserve">Project Manager  </t>
  </si>
  <si>
    <t xml:space="preserve">Project Manager </t>
  </si>
  <si>
    <t>Software Developer</t>
  </si>
  <si>
    <t>Applications Developer - Level III</t>
  </si>
  <si>
    <t>Software Engineer</t>
  </si>
  <si>
    <t>DevOps SME</t>
  </si>
  <si>
    <t>Software Quality Assurance Analyst</t>
  </si>
  <si>
    <t>Applications Systems Analyst/Programmer - Intermediate</t>
  </si>
  <si>
    <t>Systems Analyst</t>
  </si>
  <si>
    <t>Business Process Analyst - Level II</t>
  </si>
  <si>
    <t>Systems Architect</t>
  </si>
  <si>
    <t>Systems Engineer</t>
  </si>
  <si>
    <t>Mission Delivery Technical Lead</t>
  </si>
  <si>
    <t>Systems Integration Engineer</t>
  </si>
  <si>
    <t>Systems Programmer</t>
  </si>
  <si>
    <t>Programmer 3</t>
  </si>
  <si>
    <t>Task Manager</t>
  </si>
  <si>
    <t>Technical Writer</t>
  </si>
  <si>
    <t>Threat Engineer</t>
  </si>
  <si>
    <t>Systems Analysis and Programming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</si>
</sst>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7" x14ac:knownFonts="1">
    <font>
      <sz val="11"/>
      <color theme="1"/>
      <name val="Calibri"/>
      <family val="2"/>
      <scheme val="minor"/>
    </font>
    <font>
      <b/>
      <sz val="11"/>
      <color theme="1"/>
      <name val="Times New Roman"/>
      <family val="1"/>
    </font>
    <font>
      <sz val="11"/>
      <color theme="1"/>
      <name val="Times New Roman"/>
      <family val="1"/>
    </font>
    <font>
      <sz val="10"/>
      <name val="Arial"/>
      <family val="2"/>
    </font>
    <font>
      <sz val="11"/>
      <name val="Times New Roman"/>
      <family val="1"/>
    </font>
    <font>
      <b/>
      <sz val="11"/>
      <color theme="4"/>
      <name val="Times New Roman"/>
      <family val="1"/>
    </font>
    <font>
      <sz val="11"/>
      <color rgb="FFFF0000"/>
      <name val="Times New Roman"/>
      <family val="1"/>
    </font>
  </fonts>
  <fills count="13">
    <fill>
      <patternFill patternType="none"/>
    </fill>
    <fill>
      <patternFill patternType="gray125"/>
    </fill>
    <fill>
      <patternFill patternType="solid">
        <fgColor rgb="FFFFCC66"/>
        <bgColor indexed="64"/>
      </patternFill>
    </fill>
    <fill>
      <patternFill patternType="solid">
        <fgColor theme="4" tint="0.39997558519241921"/>
        <bgColor indexed="64"/>
      </patternFill>
    </fill>
    <fill>
      <patternFill patternType="solid">
        <fgColor rgb="FFFFFF00"/>
        <bgColor indexed="64"/>
      </patternFill>
    </fill>
    <fill>
      <patternFill patternType="solid">
        <fgColor theme="1" tint="0.499984740745262"/>
        <bgColor indexed="64"/>
      </patternFill>
    </fill>
    <fill>
      <patternFill patternType="solid">
        <fgColor theme="1" tint="4.9989318521683403E-2"/>
        <bgColor indexed="64"/>
      </patternFill>
    </fill>
    <fill>
      <patternFill patternType="solid">
        <fgColor rgb="FF0070C0"/>
        <bgColor indexed="64"/>
      </patternFill>
    </fill>
    <fill>
      <patternFill patternType="solid">
        <fgColor theme="1"/>
        <bgColor indexed="64"/>
      </patternFill>
    </fill>
    <fill>
      <patternFill patternType="solid">
        <fgColor theme="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top/>
      <bottom/>
      <diagonal/>
    </border>
    <border>
      <left/>
      <right style="medium">
        <color indexed="64"/>
      </right>
      <top style="thin">
        <color auto="1"/>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s>
  <cellStyleXfs count="2">
    <xf numFmtId="0" fontId="0" fillId="0" borderId="0"/>
    <xf numFmtId="44" fontId="3" fillId="0" borderId="0" applyFont="0" applyFill="0" applyBorder="0" applyAlignment="0" applyProtection="0"/>
  </cellStyleXfs>
  <cellXfs count="54">
    <xf numFmtId="0" fontId="0" fillId="0" borderId="0" xfId="0"/>
    <xf numFmtId="0" fontId="1" fillId="0" borderId="0" xfId="0" applyFont="1" applyAlignment="1">
      <alignment horizontal="center" vertical="center"/>
    </xf>
    <xf numFmtId="0" fontId="1" fillId="0" borderId="4" xfId="0" applyFont="1" applyBorder="1" applyAlignment="1">
      <alignment horizontal="center" vertical="center"/>
    </xf>
    <xf numFmtId="0" fontId="2" fillId="0" borderId="0" xfId="0" applyFont="1" applyAlignment="1">
      <alignment vertical="top"/>
    </xf>
    <xf numFmtId="0" fontId="2" fillId="0" borderId="0" xfId="0" applyFont="1" applyAlignment="1">
      <alignment horizontal="center" vertical="center"/>
    </xf>
    <xf numFmtId="0" fontId="2" fillId="0" borderId="1" xfId="0" applyFont="1" applyBorder="1" applyAlignment="1">
      <alignment horizontal="center" vertical="top"/>
    </xf>
    <xf numFmtId="0" fontId="2" fillId="0" borderId="2" xfId="0" applyFont="1" applyBorder="1" applyAlignment="1">
      <alignment horizontal="center" vertical="top"/>
    </xf>
    <xf numFmtId="164" fontId="2" fillId="0" borderId="0" xfId="0" applyNumberFormat="1" applyFont="1" applyAlignment="1">
      <alignment vertical="top"/>
    </xf>
    <xf numFmtId="164" fontId="1" fillId="5" borderId="6" xfId="0" applyNumberFormat="1" applyFont="1" applyFill="1" applyBorder="1" applyAlignment="1">
      <alignment vertical="top"/>
    </xf>
    <xf numFmtId="0" fontId="1" fillId="5" borderId="6" xfId="0" applyFont="1" applyFill="1" applyBorder="1" applyAlignment="1">
      <alignment vertical="center"/>
    </xf>
    <xf numFmtId="0" fontId="1" fillId="0" borderId="0" xfId="0" applyFont="1" applyAlignment="1">
      <alignment vertical="top"/>
    </xf>
    <xf numFmtId="0" fontId="2" fillId="0" borderId="7" xfId="0" quotePrefix="1" applyFont="1" applyBorder="1" applyAlignment="1">
      <alignment horizontal="center" vertical="center"/>
    </xf>
    <xf numFmtId="0" fontId="1" fillId="5" borderId="9" xfId="0" applyFont="1" applyFill="1" applyBorder="1" applyAlignment="1">
      <alignment horizontal="center" vertical="center"/>
    </xf>
    <xf numFmtId="0" fontId="1" fillId="5" borderId="10" xfId="0" applyFont="1" applyFill="1" applyBorder="1" applyAlignment="1">
      <alignment vertical="center"/>
    </xf>
    <xf numFmtId="0" fontId="1" fillId="6" borderId="11" xfId="0" applyFont="1" applyFill="1" applyBorder="1" applyAlignment="1">
      <alignment horizontal="center" vertical="center"/>
    </xf>
    <xf numFmtId="0" fontId="1" fillId="6" borderId="4"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 fillId="5" borderId="0" xfId="0" applyFont="1" applyFill="1" applyAlignment="1">
      <alignment horizontal="center" vertical="center"/>
    </xf>
    <xf numFmtId="0" fontId="0" fillId="7" borderId="0" xfId="0" applyFill="1"/>
    <xf numFmtId="0" fontId="1" fillId="5" borderId="6" xfId="0" applyFont="1" applyFill="1" applyBorder="1" applyAlignment="1">
      <alignment horizontal="center" vertical="center"/>
    </xf>
    <xf numFmtId="164" fontId="1" fillId="5" borderId="6" xfId="0" applyNumberFormat="1" applyFont="1" applyFill="1" applyBorder="1" applyAlignment="1">
      <alignment horizontal="center" vertical="top"/>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4" borderId="0" xfId="0" applyFill="1"/>
    <xf numFmtId="0" fontId="1"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4" borderId="2" xfId="0" applyFont="1" applyFill="1" applyBorder="1" applyAlignment="1">
      <alignment horizontal="center" vertical="center" wrapText="1"/>
    </xf>
    <xf numFmtId="0" fontId="2" fillId="0" borderId="1" xfId="0" applyFont="1" applyBorder="1" applyAlignment="1">
      <alignment horizontal="left" vertical="center" wrapText="1"/>
    </xf>
    <xf numFmtId="0" fontId="1" fillId="2" borderId="3" xfId="0" applyFont="1" applyFill="1" applyBorder="1" applyAlignment="1">
      <alignment horizontal="center" vertical="center"/>
    </xf>
    <xf numFmtId="0" fontId="2" fillId="0" borderId="0" xfId="0" applyFont="1" applyAlignment="1">
      <alignment vertical="center"/>
    </xf>
    <xf numFmtId="164" fontId="1" fillId="8" borderId="4" xfId="0" applyNumberFormat="1" applyFont="1" applyFill="1" applyBorder="1" applyAlignment="1">
      <alignment vertical="top"/>
    </xf>
    <xf numFmtId="0" fontId="2" fillId="9" borderId="2" xfId="0" applyFont="1" applyFill="1" applyBorder="1" applyAlignment="1">
      <alignment horizontal="center" vertical="top"/>
    </xf>
    <xf numFmtId="0" fontId="2" fillId="9" borderId="8" xfId="0" applyFont="1" applyFill="1" applyBorder="1" applyAlignment="1">
      <alignment horizontal="center" vertical="top"/>
    </xf>
    <xf numFmtId="0" fontId="2" fillId="0" borderId="1" xfId="0" applyFont="1" applyBorder="1" applyAlignment="1">
      <alignment horizontal="left" vertical="top"/>
    </xf>
    <xf numFmtId="164" fontId="2" fillId="10" borderId="1" xfId="0" applyNumberFormat="1" applyFont="1" applyFill="1" applyBorder="1" applyAlignment="1">
      <alignment vertical="top"/>
    </xf>
    <xf numFmtId="164" fontId="2" fillId="11" borderId="1" xfId="0" applyNumberFormat="1" applyFont="1" applyFill="1" applyBorder="1" applyAlignment="1">
      <alignment vertical="top"/>
    </xf>
    <xf numFmtId="164" fontId="4" fillId="10" borderId="1" xfId="1" applyNumberFormat="1" applyFont="1" applyFill="1" applyBorder="1" applyAlignment="1" applyProtection="1">
      <alignment horizontal="center" vertical="center"/>
    </xf>
    <xf numFmtId="0" fontId="2" fillId="0" borderId="2" xfId="0" applyFont="1" applyBorder="1" applyAlignment="1">
      <alignment horizontal="left" vertical="top"/>
    </xf>
    <xf numFmtId="164" fontId="2" fillId="11" borderId="2" xfId="0" applyNumberFormat="1" applyFont="1" applyFill="1" applyBorder="1" applyAlignment="1">
      <alignment vertical="top"/>
    </xf>
    <xf numFmtId="164" fontId="4" fillId="10" borderId="2" xfId="1" applyNumberFormat="1" applyFont="1" applyFill="1" applyBorder="1" applyAlignment="1" applyProtection="1">
      <alignment horizontal="center" vertical="center"/>
    </xf>
    <xf numFmtId="164" fontId="2" fillId="10" borderId="2" xfId="0" applyNumberFormat="1" applyFont="1" applyFill="1" applyBorder="1" applyAlignment="1">
      <alignment vertical="top"/>
    </xf>
    <xf numFmtId="164" fontId="1" fillId="10" borderId="13" xfId="0" applyNumberFormat="1" applyFont="1" applyFill="1" applyBorder="1" applyAlignment="1">
      <alignment horizontal="center" vertical="center" wrapText="1"/>
    </xf>
    <xf numFmtId="164" fontId="1" fillId="11" borderId="13" xfId="0" applyNumberFormat="1" applyFont="1" applyFill="1" applyBorder="1" applyAlignment="1">
      <alignment horizontal="center" vertical="center" wrapText="1"/>
    </xf>
    <xf numFmtId="164" fontId="1" fillId="3" borderId="13" xfId="0" applyNumberFormat="1"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 fillId="12" borderId="3" xfId="0" applyFont="1" applyFill="1" applyBorder="1" applyAlignment="1">
      <alignment horizontal="center" vertical="center"/>
    </xf>
    <xf numFmtId="0" fontId="2" fillId="9" borderId="2" xfId="0" applyFont="1" applyFill="1" applyBorder="1" applyAlignment="1">
      <alignment horizontal="left" vertical="top"/>
    </xf>
    <xf numFmtId="0" fontId="2" fillId="9" borderId="1" xfId="0" applyFont="1" applyFill="1" applyBorder="1" applyAlignment="1">
      <alignment horizontal="left" vertical="top"/>
    </xf>
    <xf numFmtId="0" fontId="6" fillId="0" borderId="0" xfId="0" applyFont="1" applyAlignment="1">
      <alignment vertical="top"/>
    </xf>
    <xf numFmtId="0" fontId="4" fillId="9" borderId="2" xfId="0" applyFont="1" applyFill="1" applyBorder="1" applyAlignment="1">
      <alignment horizontal="left" vertical="top"/>
    </xf>
    <xf numFmtId="14" fontId="1" fillId="0" borderId="0" xfId="0" applyNumberFormat="1" applyFont="1" applyAlignment="1">
      <alignment horizontal="center" vertical="top"/>
    </xf>
    <xf numFmtId="164" fontId="2" fillId="0" borderId="0" xfId="0" applyNumberFormat="1" applyFont="1" applyAlignment="1">
      <alignment horizontal="center" vertical="center"/>
    </xf>
  </cellXfs>
  <cellStyles count="2">
    <cellStyle name="Currency 2" xfId="1" xr:uid="{00000000-0005-0000-0000-000000000000}"/>
    <cellStyle name="Normal" xfId="0" builtinId="0"/>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60167-8584-475A-B8A9-3F00A9D60CBF}">
  <dimension ref="A1:E10"/>
  <sheetViews>
    <sheetView topLeftCell="B1" zoomScale="90" zoomScaleNormal="90" workbookViewId="0">
      <selection activeCell="E6" sqref="E6"/>
    </sheetView>
  </sheetViews>
  <sheetFormatPr defaultRowHeight="15" x14ac:dyDescent="0.25"/>
  <cols>
    <col min="1" max="2" width="20.7109375" customWidth="1"/>
    <col min="3" max="3" width="16.7109375" customWidth="1"/>
    <col min="4" max="4" width="21.7109375" customWidth="1"/>
    <col min="5" max="5" width="254.7109375" customWidth="1"/>
  </cols>
  <sheetData>
    <row r="1" spans="1:5" x14ac:dyDescent="0.25">
      <c r="A1" s="18" t="s">
        <v>0</v>
      </c>
    </row>
    <row r="2" spans="1:5" x14ac:dyDescent="0.25">
      <c r="A2" s="23" t="s">
        <v>1</v>
      </c>
    </row>
    <row r="4" spans="1:5" ht="15.75" thickBot="1" x14ac:dyDescent="0.3"/>
    <row r="5" spans="1:5" ht="53.1" customHeight="1" thickBot="1" x14ac:dyDescent="0.3">
      <c r="B5" s="24" t="s">
        <v>2</v>
      </c>
      <c r="C5" s="24" t="s">
        <v>3</v>
      </c>
      <c r="D5" s="24" t="s">
        <v>4</v>
      </c>
      <c r="E5" s="24" t="s">
        <v>5</v>
      </c>
    </row>
    <row r="6" spans="1:5" ht="158.25" x14ac:dyDescent="0.25">
      <c r="B6" s="25" t="s">
        <v>6</v>
      </c>
      <c r="C6" s="26" t="s">
        <v>7</v>
      </c>
      <c r="D6" s="27" t="s">
        <v>8</v>
      </c>
      <c r="E6" s="28" t="s">
        <v>9</v>
      </c>
    </row>
    <row r="7" spans="1:5" ht="145.69999999999999" customHeight="1" x14ac:dyDescent="0.25">
      <c r="B7" s="25" t="s">
        <v>10</v>
      </c>
      <c r="C7" s="26" t="s">
        <v>11</v>
      </c>
      <c r="D7" s="27" t="s">
        <v>12</v>
      </c>
      <c r="E7" s="28" t="s">
        <v>13</v>
      </c>
    </row>
    <row r="8" spans="1:5" ht="144" x14ac:dyDescent="0.25">
      <c r="B8" s="25" t="s">
        <v>14</v>
      </c>
      <c r="C8" s="26" t="s">
        <v>11</v>
      </c>
      <c r="D8" s="27" t="s">
        <v>12</v>
      </c>
      <c r="E8" s="28" t="s">
        <v>15</v>
      </c>
    </row>
    <row r="9" spans="1:5" ht="215.25" x14ac:dyDescent="0.25">
      <c r="B9" s="25" t="s">
        <v>16</v>
      </c>
      <c r="C9" s="26" t="s">
        <v>11</v>
      </c>
      <c r="D9" s="27" t="s">
        <v>17</v>
      </c>
      <c r="E9" s="28" t="s">
        <v>18</v>
      </c>
    </row>
    <row r="10" spans="1:5" ht="174.95" customHeight="1" x14ac:dyDescent="0.25">
      <c r="B10" s="25" t="s">
        <v>19</v>
      </c>
      <c r="C10" s="26" t="s">
        <v>11</v>
      </c>
      <c r="D10" s="27" t="s">
        <v>20</v>
      </c>
      <c r="E10" s="28" t="s">
        <v>21</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395BD-3F25-475D-94EE-ECA22E3AFC66}">
  <sheetPr>
    <pageSetUpPr fitToPage="1"/>
  </sheetPr>
  <dimension ref="A1:N45"/>
  <sheetViews>
    <sheetView tabSelected="1" topLeftCell="B1" zoomScale="110" zoomScaleNormal="110" workbookViewId="0">
      <pane xSplit="1" ySplit="3" topLeftCell="C4" activePane="bottomRight" state="frozen"/>
      <selection pane="topRight" activeCell="C1" sqref="C1"/>
      <selection pane="bottomLeft" activeCell="B3" sqref="B3"/>
      <selection pane="bottomRight" activeCell="B20" sqref="A20:XFD20"/>
    </sheetView>
  </sheetViews>
  <sheetFormatPr defaultColWidth="9.140625" defaultRowHeight="15" x14ac:dyDescent="0.25"/>
  <cols>
    <col min="1" max="1" width="5.85546875" style="4" customWidth="1"/>
    <col min="2" max="2" width="52.7109375" style="4" bestFit="1" customWidth="1"/>
    <col min="3" max="3" width="52.28515625" style="4" bestFit="1" customWidth="1"/>
    <col min="4" max="4" width="16.140625" style="4" customWidth="1"/>
    <col min="5" max="5" width="30.28515625" style="4" customWidth="1"/>
    <col min="6" max="6" width="0.28515625" style="4" customWidth="1"/>
    <col min="7" max="7" width="18.140625" style="7" customWidth="1"/>
    <col min="8" max="8" width="17.42578125" style="7" customWidth="1"/>
    <col min="9" max="9" width="19.85546875" style="7" customWidth="1"/>
    <col min="10" max="10" width="17.7109375" style="7" customWidth="1"/>
    <col min="11" max="11" width="21.28515625" style="7" customWidth="1"/>
    <col min="12" max="12" width="19.28515625" style="4" hidden="1" customWidth="1"/>
    <col min="13" max="13" width="20.140625" style="4" hidden="1" customWidth="1"/>
    <col min="14" max="16384" width="9.140625" style="3"/>
  </cols>
  <sheetData>
    <row r="1" spans="1:14" x14ac:dyDescent="0.25">
      <c r="G1" s="52">
        <v>44799</v>
      </c>
      <c r="H1" s="52">
        <v>45164</v>
      </c>
      <c r="I1" s="52">
        <v>45530</v>
      </c>
      <c r="J1" s="52">
        <v>45895</v>
      </c>
      <c r="K1" s="52">
        <v>46260</v>
      </c>
    </row>
    <row r="2" spans="1:14" ht="15.75" thickBot="1" x14ac:dyDescent="0.3">
      <c r="A2" s="1"/>
      <c r="B2" s="2"/>
      <c r="C2" s="1"/>
      <c r="D2" s="1"/>
      <c r="E2" s="1"/>
      <c r="F2" s="1"/>
      <c r="G2" s="52">
        <v>45163</v>
      </c>
      <c r="H2" s="52">
        <v>45529</v>
      </c>
      <c r="I2" s="52">
        <v>45894</v>
      </c>
      <c r="J2" s="52">
        <v>46259</v>
      </c>
      <c r="K2" s="52">
        <v>46624</v>
      </c>
      <c r="L2" s="1"/>
      <c r="M2" s="1"/>
    </row>
    <row r="3" spans="1:14" s="30" customFormat="1" ht="72" thickBot="1" x14ac:dyDescent="0.3">
      <c r="A3" s="29"/>
      <c r="B3" s="47" t="s">
        <v>2</v>
      </c>
      <c r="C3" s="47" t="s">
        <v>22</v>
      </c>
      <c r="D3" s="47" t="s">
        <v>3</v>
      </c>
      <c r="E3" s="47" t="s">
        <v>5</v>
      </c>
      <c r="F3" s="47" t="s">
        <v>23</v>
      </c>
      <c r="G3" s="42" t="s">
        <v>24</v>
      </c>
      <c r="H3" s="43" t="s">
        <v>25</v>
      </c>
      <c r="I3" s="42" t="s">
        <v>26</v>
      </c>
      <c r="J3" s="44" t="s">
        <v>27</v>
      </c>
      <c r="K3" s="42" t="s">
        <v>28</v>
      </c>
      <c r="L3" s="45" t="s">
        <v>29</v>
      </c>
      <c r="M3" s="46" t="s">
        <v>30</v>
      </c>
    </row>
    <row r="4" spans="1:14" x14ac:dyDescent="0.25">
      <c r="A4" s="11">
        <v>1</v>
      </c>
      <c r="B4" s="38" t="s">
        <v>31</v>
      </c>
      <c r="C4" s="48" t="s">
        <v>32</v>
      </c>
      <c r="D4" s="6" t="s">
        <v>11</v>
      </c>
      <c r="E4" s="6"/>
      <c r="F4" s="6" t="s">
        <v>33</v>
      </c>
      <c r="G4" s="41">
        <v>46.15</v>
      </c>
      <c r="H4" s="39">
        <v>47.073</v>
      </c>
      <c r="I4" s="40">
        <v>48.01446</v>
      </c>
      <c r="J4" s="39">
        <v>48.974749199999998</v>
      </c>
      <c r="K4" s="41">
        <v>49.954244183999997</v>
      </c>
      <c r="L4" s="32" t="s">
        <v>34</v>
      </c>
      <c r="M4" s="33" t="s">
        <v>35</v>
      </c>
    </row>
    <row r="5" spans="1:14" x14ac:dyDescent="0.25">
      <c r="A5" s="11">
        <v>2</v>
      </c>
      <c r="B5" s="34" t="s">
        <v>36</v>
      </c>
      <c r="C5" s="48" t="s">
        <v>17</v>
      </c>
      <c r="D5" s="6" t="s">
        <v>11</v>
      </c>
      <c r="E5" s="6"/>
      <c r="F5" s="6" t="s">
        <v>33</v>
      </c>
      <c r="G5" s="35">
        <v>74.03</v>
      </c>
      <c r="H5" s="36">
        <v>75.510599999999997</v>
      </c>
      <c r="I5" s="37">
        <v>77.020811999999992</v>
      </c>
      <c r="J5" s="36">
        <v>78.561228239999991</v>
      </c>
      <c r="K5" s="35">
        <v>80.132452804799996</v>
      </c>
      <c r="L5" s="32" t="s">
        <v>34</v>
      </c>
      <c r="M5" s="33" t="s">
        <v>35</v>
      </c>
    </row>
    <row r="6" spans="1:14" x14ac:dyDescent="0.25">
      <c r="A6" s="11"/>
      <c r="B6" s="34" t="s">
        <v>37</v>
      </c>
      <c r="C6" s="51" t="s">
        <v>37</v>
      </c>
      <c r="D6" s="6" t="s">
        <v>7</v>
      </c>
      <c r="E6" s="6"/>
      <c r="F6" s="6" t="s">
        <v>33</v>
      </c>
      <c r="G6" s="35">
        <v>134.85</v>
      </c>
      <c r="H6" s="36">
        <v>137.55000000000001</v>
      </c>
      <c r="I6" s="37">
        <v>140.30000000000001</v>
      </c>
      <c r="J6" s="36">
        <v>143.11000000000001</v>
      </c>
      <c r="K6" s="35">
        <v>145.97</v>
      </c>
      <c r="L6" s="32"/>
      <c r="M6" s="33"/>
      <c r="N6" s="50" t="s">
        <v>38</v>
      </c>
    </row>
    <row r="7" spans="1:14" x14ac:dyDescent="0.25">
      <c r="A7" s="11">
        <v>3</v>
      </c>
      <c r="B7" s="34" t="s">
        <v>39</v>
      </c>
      <c r="C7" s="38" t="s">
        <v>40</v>
      </c>
      <c r="D7" s="6" t="s">
        <v>11</v>
      </c>
      <c r="E7" s="6"/>
      <c r="F7" s="6" t="s">
        <v>33</v>
      </c>
      <c r="G7" s="35">
        <v>115.38461538461539</v>
      </c>
      <c r="H7" s="36">
        <v>117.69230769230769</v>
      </c>
      <c r="I7" s="37">
        <v>120.04615384615384</v>
      </c>
      <c r="J7" s="36">
        <v>122.44707692307692</v>
      </c>
      <c r="K7" s="35">
        <v>124.89601846153846</v>
      </c>
      <c r="L7" s="32" t="s">
        <v>34</v>
      </c>
      <c r="M7" s="33" t="s">
        <v>35</v>
      </c>
    </row>
    <row r="8" spans="1:14" x14ac:dyDescent="0.25">
      <c r="A8" s="11">
        <v>4</v>
      </c>
      <c r="B8" s="34" t="s">
        <v>41</v>
      </c>
      <c r="C8" s="38" t="s">
        <v>42</v>
      </c>
      <c r="D8" s="6" t="s">
        <v>11</v>
      </c>
      <c r="E8" s="6"/>
      <c r="F8" s="6" t="s">
        <v>33</v>
      </c>
      <c r="G8" s="35">
        <v>96</v>
      </c>
      <c r="H8" s="36">
        <v>97.92</v>
      </c>
      <c r="I8" s="37">
        <v>99.878399999999999</v>
      </c>
      <c r="J8" s="36">
        <v>101.875968</v>
      </c>
      <c r="K8" s="35">
        <v>103.91348736</v>
      </c>
      <c r="L8" s="32" t="s">
        <v>34</v>
      </c>
      <c r="M8" s="33" t="s">
        <v>35</v>
      </c>
    </row>
    <row r="9" spans="1:14" x14ac:dyDescent="0.25">
      <c r="A9" s="11"/>
      <c r="B9" s="34" t="s">
        <v>43</v>
      </c>
      <c r="C9" s="38" t="s">
        <v>44</v>
      </c>
      <c r="D9" s="6" t="s">
        <v>7</v>
      </c>
      <c r="E9" s="6"/>
      <c r="F9" s="6" t="s">
        <v>33</v>
      </c>
      <c r="G9" s="35">
        <v>115.38461538461539</v>
      </c>
      <c r="H9" s="36">
        <v>117.69230769230769</v>
      </c>
      <c r="I9" s="37">
        <v>120.04615384615384</v>
      </c>
      <c r="J9" s="36">
        <v>122.44707692307692</v>
      </c>
      <c r="K9" s="35">
        <v>124.89601846153846</v>
      </c>
      <c r="L9" s="32"/>
      <c r="M9" s="33"/>
      <c r="N9" s="50" t="s">
        <v>45</v>
      </c>
    </row>
    <row r="10" spans="1:14" x14ac:dyDescent="0.25">
      <c r="A10" s="11">
        <v>5</v>
      </c>
      <c r="B10" s="34" t="s">
        <v>46</v>
      </c>
      <c r="C10" s="38" t="s">
        <v>8</v>
      </c>
      <c r="D10" s="6" t="s">
        <v>11</v>
      </c>
      <c r="E10" s="6"/>
      <c r="F10" s="6" t="s">
        <v>33</v>
      </c>
      <c r="G10" s="35">
        <v>65.77</v>
      </c>
      <c r="H10" s="36">
        <v>67.085399999999993</v>
      </c>
      <c r="I10" s="37">
        <v>68.42710799999999</v>
      </c>
      <c r="J10" s="36">
        <v>69.795650159999994</v>
      </c>
      <c r="K10" s="35">
        <v>71.191563163200001</v>
      </c>
      <c r="L10" s="32" t="s">
        <v>34</v>
      </c>
      <c r="M10" s="33" t="s">
        <v>35</v>
      </c>
    </row>
    <row r="11" spans="1:14" x14ac:dyDescent="0.25">
      <c r="A11" s="11">
        <v>6</v>
      </c>
      <c r="B11" s="34" t="s">
        <v>47</v>
      </c>
      <c r="C11" s="38" t="s">
        <v>48</v>
      </c>
      <c r="D11" s="6" t="s">
        <v>7</v>
      </c>
      <c r="E11" s="6"/>
      <c r="F11" s="6" t="s">
        <v>33</v>
      </c>
      <c r="G11" s="35">
        <v>146.15384615384616</v>
      </c>
      <c r="H11" s="36">
        <v>149.07692307692309</v>
      </c>
      <c r="I11" s="37">
        <v>152.05846153846156</v>
      </c>
      <c r="J11" s="36">
        <v>155.0996307692308</v>
      </c>
      <c r="K11" s="35">
        <v>158.20162338461543</v>
      </c>
      <c r="L11" s="32" t="s">
        <v>34</v>
      </c>
      <c r="M11" s="33" t="s">
        <v>35</v>
      </c>
    </row>
    <row r="12" spans="1:14" x14ac:dyDescent="0.25">
      <c r="A12" s="11">
        <v>7</v>
      </c>
      <c r="B12" s="34" t="s">
        <v>49</v>
      </c>
      <c r="C12" s="38" t="s">
        <v>12</v>
      </c>
      <c r="D12" s="6" t="s">
        <v>11</v>
      </c>
      <c r="E12" s="6"/>
      <c r="F12" s="6" t="s">
        <v>33</v>
      </c>
      <c r="G12" s="35">
        <v>82.44</v>
      </c>
      <c r="H12" s="36">
        <v>84.088800000000006</v>
      </c>
      <c r="I12" s="37">
        <v>85.770576000000005</v>
      </c>
      <c r="J12" s="36">
        <v>87.485987520000009</v>
      </c>
      <c r="K12" s="35">
        <v>89.235707270400013</v>
      </c>
      <c r="L12" s="32" t="s">
        <v>34</v>
      </c>
      <c r="M12" s="33" t="s">
        <v>35</v>
      </c>
    </row>
    <row r="13" spans="1:14" x14ac:dyDescent="0.25">
      <c r="A13" s="11">
        <v>8</v>
      </c>
      <c r="B13" s="34" t="s">
        <v>6</v>
      </c>
      <c r="C13" s="38" t="s">
        <v>8</v>
      </c>
      <c r="D13" s="6" t="s">
        <v>7</v>
      </c>
      <c r="E13" s="21" t="s">
        <v>50</v>
      </c>
      <c r="F13" s="6" t="s">
        <v>33</v>
      </c>
      <c r="G13" s="35">
        <v>71.540000000000006</v>
      </c>
      <c r="H13" s="36">
        <v>72.970800000000011</v>
      </c>
      <c r="I13" s="37">
        <v>74.430216000000001</v>
      </c>
      <c r="J13" s="36">
        <v>75.918820320000023</v>
      </c>
      <c r="K13" s="35">
        <v>77.437196726400032</v>
      </c>
      <c r="L13" s="32" t="s">
        <v>34</v>
      </c>
      <c r="M13" s="33" t="s">
        <v>35</v>
      </c>
    </row>
    <row r="14" spans="1:14" x14ac:dyDescent="0.25">
      <c r="A14" s="11">
        <v>9</v>
      </c>
      <c r="B14" s="34" t="s">
        <v>10</v>
      </c>
      <c r="C14" s="38" t="s">
        <v>12</v>
      </c>
      <c r="D14" s="6" t="s">
        <v>11</v>
      </c>
      <c r="E14" s="21" t="s">
        <v>50</v>
      </c>
      <c r="F14" s="6" t="s">
        <v>33</v>
      </c>
      <c r="G14" s="35">
        <v>84.615384615384627</v>
      </c>
      <c r="H14" s="36">
        <v>86.307692307692321</v>
      </c>
      <c r="I14" s="37">
        <v>88.03384615384617</v>
      </c>
      <c r="J14" s="36">
        <v>89.794523076923099</v>
      </c>
      <c r="K14" s="35">
        <v>91.590413538461561</v>
      </c>
      <c r="L14" s="32" t="s">
        <v>34</v>
      </c>
      <c r="M14" s="33" t="s">
        <v>35</v>
      </c>
    </row>
    <row r="15" spans="1:14" x14ac:dyDescent="0.25">
      <c r="A15" s="11">
        <v>10</v>
      </c>
      <c r="B15" s="34" t="s">
        <v>51</v>
      </c>
      <c r="C15" s="38" t="s">
        <v>32</v>
      </c>
      <c r="D15" s="6" t="s">
        <v>11</v>
      </c>
      <c r="E15" s="22"/>
      <c r="F15" s="6" t="s">
        <v>33</v>
      </c>
      <c r="G15" s="35">
        <v>62.34</v>
      </c>
      <c r="H15" s="36">
        <v>63.586800000000004</v>
      </c>
      <c r="I15" s="37">
        <v>64.858536000000001</v>
      </c>
      <c r="J15" s="36">
        <v>66.155706719999998</v>
      </c>
      <c r="K15" s="35">
        <v>67.478820854399999</v>
      </c>
      <c r="L15" s="32" t="s">
        <v>34</v>
      </c>
      <c r="M15" s="33" t="s">
        <v>35</v>
      </c>
    </row>
    <row r="16" spans="1:14" x14ac:dyDescent="0.25">
      <c r="A16" s="11">
        <v>11</v>
      </c>
      <c r="B16" s="34" t="s">
        <v>14</v>
      </c>
      <c r="C16" s="38" t="s">
        <v>12</v>
      </c>
      <c r="D16" s="6" t="s">
        <v>11</v>
      </c>
      <c r="E16" s="21" t="s">
        <v>50</v>
      </c>
      <c r="F16" s="6" t="s">
        <v>33</v>
      </c>
      <c r="G16" s="35">
        <v>80.769230769230774</v>
      </c>
      <c r="H16" s="36">
        <v>82.384615384615387</v>
      </c>
      <c r="I16" s="37">
        <v>84.032307692307697</v>
      </c>
      <c r="J16" s="36">
        <v>85.712953846153852</v>
      </c>
      <c r="K16" s="35">
        <v>87.427212923076937</v>
      </c>
      <c r="L16" s="32" t="s">
        <v>34</v>
      </c>
      <c r="M16" s="33" t="s">
        <v>35</v>
      </c>
    </row>
    <row r="17" spans="1:13" x14ac:dyDescent="0.25">
      <c r="A17" s="11">
        <v>12</v>
      </c>
      <c r="B17" s="34" t="s">
        <v>16</v>
      </c>
      <c r="C17" s="38" t="s">
        <v>17</v>
      </c>
      <c r="D17" s="6" t="s">
        <v>11</v>
      </c>
      <c r="E17" s="21" t="s">
        <v>50</v>
      </c>
      <c r="F17" s="6" t="s">
        <v>33</v>
      </c>
      <c r="G17" s="35">
        <v>70.28</v>
      </c>
      <c r="H17" s="36">
        <v>71.685600000000008</v>
      </c>
      <c r="I17" s="37">
        <v>73.119312000000008</v>
      </c>
      <c r="J17" s="36">
        <v>74.581698240000009</v>
      </c>
      <c r="K17" s="35">
        <v>76.07333220480001</v>
      </c>
      <c r="L17" s="32" t="s">
        <v>34</v>
      </c>
      <c r="M17" s="33" t="s">
        <v>35</v>
      </c>
    </row>
    <row r="18" spans="1:13" x14ac:dyDescent="0.25">
      <c r="A18" s="11">
        <v>13</v>
      </c>
      <c r="B18" s="34" t="s">
        <v>52</v>
      </c>
      <c r="C18" s="34" t="s">
        <v>53</v>
      </c>
      <c r="D18" s="6" t="s">
        <v>11</v>
      </c>
      <c r="E18" s="6"/>
      <c r="F18" s="6" t="s">
        <v>33</v>
      </c>
      <c r="G18" s="35">
        <v>90.63</v>
      </c>
      <c r="H18" s="36">
        <v>92.442599999999999</v>
      </c>
      <c r="I18" s="37">
        <v>94.291452000000007</v>
      </c>
      <c r="J18" s="36">
        <v>96.177281040000011</v>
      </c>
      <c r="K18" s="35">
        <v>98.10082666080001</v>
      </c>
      <c r="L18" s="32" t="s">
        <v>34</v>
      </c>
      <c r="M18" s="33" t="s">
        <v>35</v>
      </c>
    </row>
    <row r="19" spans="1:13" x14ac:dyDescent="0.25">
      <c r="A19" s="11">
        <v>14</v>
      </c>
      <c r="B19" s="34" t="s">
        <v>54</v>
      </c>
      <c r="C19" s="34" t="s">
        <v>53</v>
      </c>
      <c r="D19" s="6" t="s">
        <v>11</v>
      </c>
      <c r="E19" s="6"/>
      <c r="F19" s="6" t="s">
        <v>33</v>
      </c>
      <c r="G19" s="35">
        <v>92.307692307692321</v>
      </c>
      <c r="H19" s="36">
        <v>94.153846153846175</v>
      </c>
      <c r="I19" s="37">
        <v>96.036923076923102</v>
      </c>
      <c r="J19" s="36">
        <v>97.957661538461565</v>
      </c>
      <c r="K19" s="35">
        <v>99.916814769230797</v>
      </c>
      <c r="L19" s="32" t="s">
        <v>34</v>
      </c>
      <c r="M19" s="33" t="s">
        <v>35</v>
      </c>
    </row>
    <row r="20" spans="1:13" x14ac:dyDescent="0.25">
      <c r="A20" s="11">
        <v>15</v>
      </c>
      <c r="B20" s="34" t="s">
        <v>55</v>
      </c>
      <c r="C20" s="34" t="s">
        <v>48</v>
      </c>
      <c r="D20" s="5" t="s">
        <v>7</v>
      </c>
      <c r="E20" s="6"/>
      <c r="F20" s="6" t="s">
        <v>33</v>
      </c>
      <c r="G20" s="35">
        <v>133.28</v>
      </c>
      <c r="H20" s="36">
        <v>135.94560000000001</v>
      </c>
      <c r="I20" s="37">
        <v>138.664512</v>
      </c>
      <c r="J20" s="36">
        <v>141.43780224</v>
      </c>
      <c r="K20" s="35">
        <v>144.2665582848</v>
      </c>
      <c r="L20" s="32" t="s">
        <v>34</v>
      </c>
      <c r="M20" s="33" t="s">
        <v>35</v>
      </c>
    </row>
    <row r="21" spans="1:13" x14ac:dyDescent="0.25">
      <c r="A21" s="11">
        <v>16</v>
      </c>
      <c r="B21" s="34" t="s">
        <v>56</v>
      </c>
      <c r="C21" s="34" t="s">
        <v>57</v>
      </c>
      <c r="D21" s="5" t="s">
        <v>11</v>
      </c>
      <c r="E21" s="6"/>
      <c r="F21" s="6" t="s">
        <v>33</v>
      </c>
      <c r="G21" s="35">
        <v>92.307692307692321</v>
      </c>
      <c r="H21" s="36">
        <v>94.153846153846175</v>
      </c>
      <c r="I21" s="37">
        <v>96.036923076923102</v>
      </c>
      <c r="J21" s="36">
        <v>97.957661538461565</v>
      </c>
      <c r="K21" s="35">
        <v>99.916814769230797</v>
      </c>
      <c r="L21" s="32" t="s">
        <v>34</v>
      </c>
      <c r="M21" s="33" t="s">
        <v>35</v>
      </c>
    </row>
    <row r="22" spans="1:13" x14ac:dyDescent="0.25">
      <c r="A22" s="11">
        <v>17</v>
      </c>
      <c r="B22" s="34" t="s">
        <v>58</v>
      </c>
      <c r="C22" s="34" t="s">
        <v>59</v>
      </c>
      <c r="D22" s="5" t="s">
        <v>7</v>
      </c>
      <c r="E22" s="6"/>
      <c r="F22" s="6" t="s">
        <v>33</v>
      </c>
      <c r="G22" s="35">
        <v>108.81</v>
      </c>
      <c r="H22" s="36">
        <v>110.98620000000001</v>
      </c>
      <c r="I22" s="37">
        <v>113.20592400000001</v>
      </c>
      <c r="J22" s="36">
        <v>115.47004248000002</v>
      </c>
      <c r="K22" s="35">
        <v>117.77944332960001</v>
      </c>
      <c r="L22" s="32" t="s">
        <v>34</v>
      </c>
      <c r="M22" s="33" t="s">
        <v>35</v>
      </c>
    </row>
    <row r="23" spans="1:13" x14ac:dyDescent="0.25">
      <c r="A23" s="11">
        <v>18</v>
      </c>
      <c r="B23" s="34" t="s">
        <v>60</v>
      </c>
      <c r="C23" s="34" t="s">
        <v>12</v>
      </c>
      <c r="D23" s="5" t="s">
        <v>11</v>
      </c>
      <c r="E23" s="6"/>
      <c r="F23" s="6" t="s">
        <v>33</v>
      </c>
      <c r="G23" s="35">
        <v>80.769230769230774</v>
      </c>
      <c r="H23" s="36">
        <v>82.384615384615387</v>
      </c>
      <c r="I23" s="37">
        <v>84.032307692307697</v>
      </c>
      <c r="J23" s="36">
        <v>85.712953846153852</v>
      </c>
      <c r="K23" s="35">
        <v>87.427212923076937</v>
      </c>
      <c r="L23" s="32" t="s">
        <v>34</v>
      </c>
      <c r="M23" s="33" t="s">
        <v>35</v>
      </c>
    </row>
    <row r="24" spans="1:13" x14ac:dyDescent="0.25">
      <c r="A24" s="11">
        <v>19</v>
      </c>
      <c r="B24" s="34" t="s">
        <v>61</v>
      </c>
      <c r="C24" s="34" t="s">
        <v>44</v>
      </c>
      <c r="D24" s="5" t="s">
        <v>7</v>
      </c>
      <c r="E24" s="6"/>
      <c r="F24" s="6" t="s">
        <v>33</v>
      </c>
      <c r="G24" s="35">
        <v>115.38461538461539</v>
      </c>
      <c r="H24" s="36">
        <v>117.69230769230769</v>
      </c>
      <c r="I24" s="37">
        <v>120.04615384615384</v>
      </c>
      <c r="J24" s="36">
        <v>122.44707692307692</v>
      </c>
      <c r="K24" s="35">
        <v>124.89601846153846</v>
      </c>
      <c r="L24" s="32" t="s">
        <v>34</v>
      </c>
      <c r="M24" s="33" t="s">
        <v>35</v>
      </c>
    </row>
    <row r="25" spans="1:13" x14ac:dyDescent="0.25">
      <c r="A25" s="11">
        <v>20</v>
      </c>
      <c r="B25" s="34" t="s">
        <v>62</v>
      </c>
      <c r="C25" s="34" t="s">
        <v>32</v>
      </c>
      <c r="D25" s="5" t="s">
        <v>11</v>
      </c>
      <c r="E25" s="6"/>
      <c r="F25" s="6" t="s">
        <v>33</v>
      </c>
      <c r="G25" s="35">
        <v>53.846153846153847</v>
      </c>
      <c r="H25" s="36">
        <v>54.923076923076927</v>
      </c>
      <c r="I25" s="37">
        <v>56.021538461538469</v>
      </c>
      <c r="J25" s="36">
        <v>57.141969230769242</v>
      </c>
      <c r="K25" s="35">
        <v>58.284808615384627</v>
      </c>
      <c r="L25" s="32" t="s">
        <v>34</v>
      </c>
      <c r="M25" s="33" t="s">
        <v>35</v>
      </c>
    </row>
    <row r="26" spans="1:13" x14ac:dyDescent="0.25">
      <c r="A26" s="11">
        <v>21</v>
      </c>
      <c r="B26" s="34" t="s">
        <v>63</v>
      </c>
      <c r="C26" s="34" t="s">
        <v>20</v>
      </c>
      <c r="D26" s="5" t="s">
        <v>11</v>
      </c>
      <c r="E26" s="21" t="s">
        <v>50</v>
      </c>
      <c r="F26" s="6" t="s">
        <v>33</v>
      </c>
      <c r="G26" s="35">
        <v>62.23</v>
      </c>
      <c r="H26" s="36">
        <v>63.47</v>
      </c>
      <c r="I26" s="37">
        <v>64.739999999999995</v>
      </c>
      <c r="J26" s="36">
        <v>66.040000000000006</v>
      </c>
      <c r="K26" s="35">
        <v>67.36</v>
      </c>
      <c r="L26" s="32" t="s">
        <v>34</v>
      </c>
      <c r="M26" s="33" t="s">
        <v>35</v>
      </c>
    </row>
    <row r="27" spans="1:13" x14ac:dyDescent="0.25">
      <c r="A27" s="11">
        <v>22</v>
      </c>
      <c r="B27" s="34" t="s">
        <v>64</v>
      </c>
      <c r="C27" s="34" t="s">
        <v>65</v>
      </c>
      <c r="D27" s="5" t="s">
        <v>11</v>
      </c>
      <c r="E27" s="6"/>
      <c r="F27" s="6" t="s">
        <v>33</v>
      </c>
      <c r="G27" s="35">
        <v>57.692307692307693</v>
      </c>
      <c r="H27" s="36">
        <v>58.846153846153847</v>
      </c>
      <c r="I27" s="37">
        <v>60.023076923076921</v>
      </c>
      <c r="J27" s="36">
        <v>61.22353846153846</v>
      </c>
      <c r="K27" s="35">
        <v>62.44800923076923</v>
      </c>
      <c r="L27" s="32" t="s">
        <v>34</v>
      </c>
      <c r="M27" s="33" t="s">
        <v>35</v>
      </c>
    </row>
    <row r="28" spans="1:13" x14ac:dyDescent="0.25">
      <c r="A28" s="11">
        <v>23</v>
      </c>
      <c r="B28" s="34" t="s">
        <v>66</v>
      </c>
      <c r="C28" s="34" t="s">
        <v>67</v>
      </c>
      <c r="D28" s="5" t="s">
        <v>11</v>
      </c>
      <c r="E28" s="6"/>
      <c r="F28" s="6" t="s">
        <v>33</v>
      </c>
      <c r="G28" s="35">
        <v>76.923076923076934</v>
      </c>
      <c r="H28" s="36">
        <v>78.461538461538467</v>
      </c>
      <c r="I28" s="37">
        <v>80.030769230769238</v>
      </c>
      <c r="J28" s="36">
        <v>81.631384615384619</v>
      </c>
      <c r="K28" s="35">
        <v>83.264012307692312</v>
      </c>
      <c r="L28" s="32" t="s">
        <v>34</v>
      </c>
      <c r="M28" s="33" t="s">
        <v>35</v>
      </c>
    </row>
    <row r="29" spans="1:13" x14ac:dyDescent="0.25">
      <c r="A29" s="11">
        <v>24</v>
      </c>
      <c r="B29" s="34" t="s">
        <v>68</v>
      </c>
      <c r="C29" s="34" t="s">
        <v>69</v>
      </c>
      <c r="D29" s="5" t="s">
        <v>11</v>
      </c>
      <c r="E29" s="6"/>
      <c r="F29" s="6" t="s">
        <v>33</v>
      </c>
      <c r="G29" s="35">
        <v>99</v>
      </c>
      <c r="H29" s="36">
        <v>100.98</v>
      </c>
      <c r="I29" s="37">
        <v>102.9996</v>
      </c>
      <c r="J29" s="36">
        <v>105.05959200000001</v>
      </c>
      <c r="K29" s="35">
        <v>107.16078384000001</v>
      </c>
      <c r="L29" s="32" t="s">
        <v>34</v>
      </c>
      <c r="M29" s="33" t="s">
        <v>35</v>
      </c>
    </row>
    <row r="30" spans="1:13" x14ac:dyDescent="0.25">
      <c r="A30" s="11">
        <v>25</v>
      </c>
      <c r="B30" s="34" t="s">
        <v>70</v>
      </c>
      <c r="C30" s="34" t="s">
        <v>71</v>
      </c>
      <c r="D30" s="5" t="s">
        <v>7</v>
      </c>
      <c r="E30" s="6"/>
      <c r="F30" s="6" t="s">
        <v>33</v>
      </c>
      <c r="G30" s="35">
        <v>133</v>
      </c>
      <c r="H30" s="36">
        <v>135.66</v>
      </c>
      <c r="I30" s="37">
        <v>138.3732</v>
      </c>
      <c r="J30" s="36">
        <v>141.14066399999999</v>
      </c>
      <c r="K30" s="35">
        <v>143.96347727999998</v>
      </c>
      <c r="L30" s="32" t="s">
        <v>34</v>
      </c>
      <c r="M30" s="33" t="s">
        <v>35</v>
      </c>
    </row>
    <row r="31" spans="1:13" x14ac:dyDescent="0.25">
      <c r="A31" s="11">
        <v>26</v>
      </c>
      <c r="B31" s="34" t="s">
        <v>72</v>
      </c>
      <c r="C31" s="34" t="s">
        <v>73</v>
      </c>
      <c r="D31" s="5" t="s">
        <v>11</v>
      </c>
      <c r="E31" s="6"/>
      <c r="F31" s="6" t="s">
        <v>33</v>
      </c>
      <c r="G31" s="35">
        <v>61.53846153846154</v>
      </c>
      <c r="H31" s="36">
        <v>62.769230769230774</v>
      </c>
      <c r="I31" s="37">
        <v>64.024615384615387</v>
      </c>
      <c r="J31" s="36">
        <v>65.305107692307701</v>
      </c>
      <c r="K31" s="35">
        <v>66.611209846153855</v>
      </c>
      <c r="L31" s="32" t="s">
        <v>34</v>
      </c>
      <c r="M31" s="33" t="s">
        <v>35</v>
      </c>
    </row>
    <row r="32" spans="1:13" x14ac:dyDescent="0.25">
      <c r="A32" s="11">
        <v>27</v>
      </c>
      <c r="B32" s="34" t="s">
        <v>74</v>
      </c>
      <c r="C32" s="34" t="s">
        <v>75</v>
      </c>
      <c r="D32" s="5" t="s">
        <v>11</v>
      </c>
      <c r="E32" s="6"/>
      <c r="F32" s="6" t="s">
        <v>33</v>
      </c>
      <c r="G32" s="35">
        <v>81.540000000000006</v>
      </c>
      <c r="H32" s="36">
        <v>83.170800000000014</v>
      </c>
      <c r="I32" s="37">
        <v>84.834216000000012</v>
      </c>
      <c r="J32" s="36">
        <v>86.530900320000015</v>
      </c>
      <c r="K32" s="35">
        <v>88.261518326400022</v>
      </c>
      <c r="L32" s="32" t="s">
        <v>34</v>
      </c>
      <c r="M32" s="33" t="s">
        <v>35</v>
      </c>
    </row>
    <row r="33" spans="1:13" x14ac:dyDescent="0.25">
      <c r="A33" s="11">
        <v>28</v>
      </c>
      <c r="B33" s="34" t="s">
        <v>76</v>
      </c>
      <c r="C33" s="34" t="s">
        <v>59</v>
      </c>
      <c r="D33" s="5" t="s">
        <v>11</v>
      </c>
      <c r="E33" s="6"/>
      <c r="F33" s="6" t="s">
        <v>33</v>
      </c>
      <c r="G33" s="35">
        <v>103.84615384615387</v>
      </c>
      <c r="H33" s="36">
        <v>105.92307692307695</v>
      </c>
      <c r="I33" s="37">
        <v>108.04153846153849</v>
      </c>
      <c r="J33" s="36">
        <v>110.20236923076926</v>
      </c>
      <c r="K33" s="35">
        <v>112.40641661538466</v>
      </c>
      <c r="L33" s="32" t="s">
        <v>34</v>
      </c>
      <c r="M33" s="33" t="s">
        <v>35</v>
      </c>
    </row>
    <row r="34" spans="1:13" x14ac:dyDescent="0.25">
      <c r="A34" s="11">
        <v>29</v>
      </c>
      <c r="B34" s="34" t="s">
        <v>77</v>
      </c>
      <c r="C34" s="34" t="s">
        <v>78</v>
      </c>
      <c r="D34" s="5" t="s">
        <v>7</v>
      </c>
      <c r="E34" s="6"/>
      <c r="F34" s="6" t="s">
        <v>33</v>
      </c>
      <c r="G34" s="35">
        <v>105</v>
      </c>
      <c r="H34" s="36">
        <v>107.10000000000001</v>
      </c>
      <c r="I34" s="37">
        <v>109.242</v>
      </c>
      <c r="J34" s="36">
        <v>111.42684000000001</v>
      </c>
      <c r="K34" s="35">
        <v>113.65537680000001</v>
      </c>
      <c r="L34" s="32" t="s">
        <v>34</v>
      </c>
      <c r="M34" s="33" t="s">
        <v>35</v>
      </c>
    </row>
    <row r="35" spans="1:13" x14ac:dyDescent="0.25">
      <c r="A35" s="11">
        <v>30</v>
      </c>
      <c r="B35" s="34" t="s">
        <v>79</v>
      </c>
      <c r="C35" s="34" t="s">
        <v>48</v>
      </c>
      <c r="D35" s="5" t="s">
        <v>7</v>
      </c>
      <c r="E35" s="6"/>
      <c r="F35" s="6" t="s">
        <v>33</v>
      </c>
      <c r="G35" s="35">
        <v>146</v>
      </c>
      <c r="H35" s="36">
        <v>148.92000000000002</v>
      </c>
      <c r="I35" s="37">
        <v>151.89840000000001</v>
      </c>
      <c r="J35" s="36">
        <v>154.93636800000002</v>
      </c>
      <c r="K35" s="35">
        <v>158.03509536000001</v>
      </c>
      <c r="L35" s="32" t="s">
        <v>34</v>
      </c>
      <c r="M35" s="33" t="s">
        <v>35</v>
      </c>
    </row>
    <row r="36" spans="1:13" x14ac:dyDescent="0.25">
      <c r="A36" s="11">
        <v>31</v>
      </c>
      <c r="B36" s="34" t="s">
        <v>80</v>
      </c>
      <c r="C36" s="34" t="s">
        <v>81</v>
      </c>
      <c r="D36" s="5" t="s">
        <v>11</v>
      </c>
      <c r="E36" s="6"/>
      <c r="F36" s="6" t="s">
        <v>33</v>
      </c>
      <c r="G36" s="35">
        <v>76.923076923076934</v>
      </c>
      <c r="H36" s="36">
        <v>78.461538461538467</v>
      </c>
      <c r="I36" s="37">
        <v>80.030769230769238</v>
      </c>
      <c r="J36" s="36">
        <v>81.631384615384619</v>
      </c>
      <c r="K36" s="35">
        <v>83.264012307692312</v>
      </c>
      <c r="L36" s="32" t="s">
        <v>34</v>
      </c>
      <c r="M36" s="33" t="s">
        <v>35</v>
      </c>
    </row>
    <row r="37" spans="1:13" x14ac:dyDescent="0.25">
      <c r="A37" s="11">
        <v>32</v>
      </c>
      <c r="B37" s="34" t="s">
        <v>82</v>
      </c>
      <c r="C37" s="34" t="s">
        <v>42</v>
      </c>
      <c r="D37" s="5" t="s">
        <v>11</v>
      </c>
      <c r="E37" s="6"/>
      <c r="F37" s="6" t="s">
        <v>33</v>
      </c>
      <c r="G37" s="35">
        <v>96.15384615384616</v>
      </c>
      <c r="H37" s="36">
        <v>98.07692307692308</v>
      </c>
      <c r="I37" s="37">
        <v>100.03846153846155</v>
      </c>
      <c r="J37" s="36">
        <v>102.03923076923078</v>
      </c>
      <c r="K37" s="35">
        <v>104.08001538461541</v>
      </c>
      <c r="L37" s="32" t="s">
        <v>34</v>
      </c>
      <c r="M37" s="33" t="s">
        <v>35</v>
      </c>
    </row>
    <row r="38" spans="1:13" x14ac:dyDescent="0.25">
      <c r="A38" s="11">
        <v>33</v>
      </c>
      <c r="B38" s="34" t="s">
        <v>83</v>
      </c>
      <c r="C38" s="49" t="s">
        <v>32</v>
      </c>
      <c r="D38" s="5" t="s">
        <v>11</v>
      </c>
      <c r="E38" s="6"/>
      <c r="F38" s="6" t="s">
        <v>33</v>
      </c>
      <c r="G38" s="35">
        <v>63</v>
      </c>
      <c r="H38" s="36">
        <v>64.260000000000005</v>
      </c>
      <c r="I38" s="37">
        <v>65.55</v>
      </c>
      <c r="J38" s="36">
        <v>66.86</v>
      </c>
      <c r="K38" s="35">
        <v>68.19</v>
      </c>
      <c r="L38" s="32" t="s">
        <v>34</v>
      </c>
      <c r="M38" s="33" t="s">
        <v>35</v>
      </c>
    </row>
    <row r="39" spans="1:13" x14ac:dyDescent="0.25">
      <c r="A39" s="11">
        <v>34</v>
      </c>
      <c r="B39" s="34" t="s">
        <v>84</v>
      </c>
      <c r="C39" s="49" t="s">
        <v>85</v>
      </c>
      <c r="D39" s="5" t="s">
        <v>11</v>
      </c>
      <c r="E39" s="6"/>
      <c r="F39" s="6" t="s">
        <v>33</v>
      </c>
      <c r="G39" s="35">
        <v>80.769230769230774</v>
      </c>
      <c r="H39" s="36">
        <v>82.384615384615387</v>
      </c>
      <c r="I39" s="37">
        <v>84.032307692307697</v>
      </c>
      <c r="J39" s="36">
        <v>85.712953846153852</v>
      </c>
      <c r="K39" s="35">
        <v>87.427212923076937</v>
      </c>
      <c r="L39" s="32" t="s">
        <v>34</v>
      </c>
      <c r="M39" s="33" t="s">
        <v>35</v>
      </c>
    </row>
    <row r="40" spans="1:13" s="10" customFormat="1" ht="14.25" x14ac:dyDescent="0.25">
      <c r="A40" s="12"/>
      <c r="B40" s="17"/>
      <c r="C40" s="19"/>
      <c r="D40" s="17"/>
      <c r="E40" s="19"/>
      <c r="F40" s="19"/>
      <c r="G40" s="19"/>
      <c r="H40" s="8"/>
      <c r="I40" s="20"/>
      <c r="J40" s="20"/>
      <c r="K40" s="20"/>
      <c r="L40" s="9"/>
      <c r="M40" s="13"/>
    </row>
    <row r="41" spans="1:13" s="10" customFormat="1" thickBot="1" x14ac:dyDescent="0.3">
      <c r="A41" s="14"/>
      <c r="B41" s="14"/>
      <c r="C41" s="15"/>
      <c r="D41" s="14"/>
      <c r="E41" s="15"/>
      <c r="F41" s="15"/>
      <c r="G41" s="31">
        <f>SUM(G4:G39)</f>
        <v>3256.6592307692308</v>
      </c>
      <c r="H41" s="31">
        <f>SUM(H4:H39)</f>
        <v>3321.7908153846161</v>
      </c>
      <c r="I41" s="31">
        <f>SUM(I4:I39)</f>
        <v>3388.2310316923085</v>
      </c>
      <c r="J41" s="31">
        <f>SUM(J4:J39)</f>
        <v>3456.0038523261542</v>
      </c>
      <c r="K41" s="31">
        <f>SUM(K4:K39)</f>
        <v>3525.1137293726774</v>
      </c>
      <c r="L41" s="15"/>
      <c r="M41" s="16"/>
    </row>
    <row r="45" spans="1:13" x14ac:dyDescent="0.25">
      <c r="D45" s="53"/>
    </row>
  </sheetData>
  <protectedRanges>
    <protectedRange password="CB17" sqref="I4:I39" name="Range3"/>
  </protectedRanges>
  <autoFilter ref="G2:G41" xr:uid="{9F2395BD-3F25-475D-94EE-ECA22E3AFC66}"/>
  <pageMargins left="0.7" right="0.7" top="0.75" bottom="0.75" header="0.3" footer="0.3"/>
  <pageSetup scale="7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0e2bc5c-0c91-46c3-8298-b18ba2f230d2">
      <UserInfo>
        <DisplayName>Matthew Kessel</DisplayName>
        <AccountId>40</AccountId>
        <AccountType/>
      </UserInfo>
      <UserInfo>
        <DisplayName>Asem Muaket</DisplayName>
        <AccountId>43</AccountId>
        <AccountType/>
      </UserInfo>
      <UserInfo>
        <DisplayName>April Wiggs</DisplayName>
        <AccountId>12</AccountId>
        <AccountType/>
      </UserInfo>
    </SharedWithUsers>
    <TaxCatchAll xmlns="c0e2bc5c-0c91-46c3-8298-b18ba2f230d2" xsi:nil="true"/>
    <lcf76f155ced4ddcb4097134ff3c332f xmlns="6dc04f20-a0b5-4c13-9061-d00ff92f90c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810A00D1AE8342897D3362DAA81876" ma:contentTypeVersion="15" ma:contentTypeDescription="Create a new document." ma:contentTypeScope="" ma:versionID="16a49f767d585b69dcf488b8cdea3404">
  <xsd:schema xmlns:xsd="http://www.w3.org/2001/XMLSchema" xmlns:xs="http://www.w3.org/2001/XMLSchema" xmlns:p="http://schemas.microsoft.com/office/2006/metadata/properties" xmlns:ns2="6dc04f20-a0b5-4c13-9061-d00ff92f90c4" xmlns:ns3="c0e2bc5c-0c91-46c3-8298-b18ba2f230d2" targetNamespace="http://schemas.microsoft.com/office/2006/metadata/properties" ma:root="true" ma:fieldsID="985c56797072972183c35d68265505c0" ns2:_="" ns3:_="">
    <xsd:import namespace="6dc04f20-a0b5-4c13-9061-d00ff92f90c4"/>
    <xsd:import namespace="c0e2bc5c-0c91-46c3-8298-b18ba2f230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c04f20-a0b5-4c13-9061-d00ff92f9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196a627-cc72-4f32-ae63-2f55053370d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e2bc5c-0c91-46c3-8298-b18ba2f230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90c98e9-fe74-4430-9970-caefcd9b8b18}" ma:internalName="TaxCatchAll" ma:showField="CatchAllData" ma:web="c0e2bc5c-0c91-46c3-8298-b18ba2f230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E826EF-E314-40E8-825D-8A98CD5F0377}">
  <ds:schemaRefs>
    <ds:schemaRef ds:uri="http://schemas.microsoft.com/sharepoint/v3/contenttype/forms"/>
  </ds:schemaRefs>
</ds:datastoreItem>
</file>

<file path=customXml/itemProps2.xml><?xml version="1.0" encoding="utf-8"?>
<ds:datastoreItem xmlns:ds="http://schemas.openxmlformats.org/officeDocument/2006/customXml" ds:itemID="{011F60EB-A562-4AC4-8B5A-1CB2167423C3}">
  <ds:schemaRefs>
    <ds:schemaRef ds:uri="http://schemas.microsoft.com/office/2006/metadata/properties"/>
    <ds:schemaRef ds:uri="http://schemas.microsoft.com/office/infopath/2007/PartnerControls"/>
    <ds:schemaRef ds:uri="b40db3e9-fe5b-411b-a8fc-22d1c58d9499"/>
    <ds:schemaRef ds:uri="a4948f32-3f19-43b8-b038-0de07e341b17"/>
    <ds:schemaRef ds:uri="c0e2bc5c-0c91-46c3-8298-b18ba2f230d2"/>
    <ds:schemaRef ds:uri="6dc04f20-a0b5-4c13-9061-d00ff92f90c4"/>
  </ds:schemaRefs>
</ds:datastoreItem>
</file>

<file path=customXml/itemProps3.xml><?xml version="1.0" encoding="utf-8"?>
<ds:datastoreItem xmlns:ds="http://schemas.openxmlformats.org/officeDocument/2006/customXml" ds:itemID="{639F87EF-100B-40CA-8706-C5353C2CA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c04f20-a0b5-4c13-9061-d00ff92f90c4"/>
    <ds:schemaRef ds:uri="c0e2bc5c-0c91-46c3-8298-b18ba2f230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Notes</vt:lpstr>
      <vt:lpstr>BPA PRICING </vt:lpstr>
      <vt:lpstr>'BPA PRICING '!Print_Area</vt:lpstr>
    </vt:vector>
  </TitlesOfParts>
  <Manager/>
  <Company>Administrative Office of the US Courts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 Field</dc:creator>
  <cp:keywords/>
  <dc:description/>
  <cp:lastModifiedBy>Pradeep Krishnanath</cp:lastModifiedBy>
  <cp:revision/>
  <dcterms:created xsi:type="dcterms:W3CDTF">2015-02-10T16:22:32Z</dcterms:created>
  <dcterms:modified xsi:type="dcterms:W3CDTF">2026-09-03T21:05:55Z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0x0101004B810A00D1AE8342897D3362DAA81876</vt:lpwstr>
  </property>
  <property fmtid="{D5CDD505-2E9C-101B-9397-08002B2CF9AE}" pid="3" name="MediaServiceImageTags">
    <vt:lpwstr/>
  </property>
</Properties>
</file>